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D1C3B62-E847-4074-900B-ADF9B1E44BF7}" xr6:coauthVersionLast="47" xr6:coauthVersionMax="47" xr10:uidLastSave="{00000000-0000-0000-0000-000000000000}"/>
  <bookViews>
    <workbookView xWindow="0" yWindow="15" windowWidth="29040" windowHeight="16440" xr2:uid="{00000000-000D-0000-FFFF-FFFF00000000}"/>
  </bookViews>
  <sheets>
    <sheet name="Test Execution Report" sheetId="1" r:id="rId1"/>
    <sheet name="Summary 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C6" i="2" s="1"/>
  <c r="B5" i="2"/>
  <c r="C5" i="2" s="1"/>
  <c r="B4" i="2"/>
  <c r="C4" i="2" s="1"/>
</calcChain>
</file>

<file path=xl/sharedStrings.xml><?xml version="1.0" encoding="utf-8"?>
<sst xmlns="http://schemas.openxmlformats.org/spreadsheetml/2006/main" count="97" uniqueCount="80">
  <si>
    <t>Movie Ticket Booking App - Test Execution Report</t>
  </si>
  <si>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</si>
  <si>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</si>
  <si>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</si>
  <si>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</si>
  <si>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</si>
  <si>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</si>
  <si>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</si>
  <si>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</si>
  <si>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TC001</t>
  </si>
  <si>
    <t>Login</t>
  </si>
  <si>
    <t>Valid user login</t>
  </si>
  <si>
    <t>Enter valid mobile &amp; OTP → Verify</t>
  </si>
  <si>
    <t>Valid mobile/OTP</t>
  </si>
  <si>
    <t>User logs in successfully</t>
  </si>
  <si>
    <t>As expected</t>
  </si>
  <si>
    <t>Passed</t>
  </si>
  <si>
    <t>TC002</t>
  </si>
  <si>
    <t>Location</t>
  </si>
  <si>
    <t>Auto-detect location</t>
  </si>
  <si>
    <t>Open app → Allow location permission</t>
  </si>
  <si>
    <t>GPS Enabled</t>
  </si>
  <si>
    <t>Current city detected automatically</t>
  </si>
  <si>
    <t>TC003</t>
  </si>
  <si>
    <t>Search</t>
  </si>
  <si>
    <t>Search movie</t>
  </si>
  <si>
    <t>Enter movie title in search bar → Select</t>
  </si>
  <si>
    <t>Movie: Avatar 2</t>
  </si>
  <si>
    <t>Movie details &amp; showtimes displayed</t>
  </si>
  <si>
    <t>TC004</t>
  </si>
  <si>
    <t>Showtime</t>
  </si>
  <si>
    <t>Select cinema &amp; show</t>
  </si>
  <si>
    <t>Select date, cinema, and time slot</t>
  </si>
  <si>
    <t>PVR Cinemas, 7:00 PM</t>
  </si>
  <si>
    <t>Seat layout screen opens</t>
  </si>
  <si>
    <t>TC005</t>
  </si>
  <si>
    <t>Booking</t>
  </si>
  <si>
    <t>Select seats</t>
  </si>
  <si>
    <t>Select 2 adjacent seats → Click Pay</t>
  </si>
  <si>
    <t>2 Seats (Gold Class)</t>
  </si>
  <si>
    <t>Payment summary with correct fare shown</t>
  </si>
  <si>
    <t>TC006</t>
  </si>
  <si>
    <t>Payment</t>
  </si>
  <si>
    <t>Valid payment (UPI)</t>
  </si>
  <si>
    <t>Select UPI → Enter VPA → Approve payment</t>
  </si>
  <si>
    <t>Valid UPI ID</t>
  </si>
  <si>
    <t>Payment successful, booking confirmed</t>
  </si>
  <si>
    <t>Issue observed</t>
  </si>
  <si>
    <t>Failed</t>
  </si>
  <si>
    <t>TC007</t>
  </si>
  <si>
    <t>Invalid payment</t>
  </si>
  <si>
    <t>Enter incorrect UPI PIN → Submit</t>
  </si>
  <si>
    <t>Wrong UPI PIN</t>
  </si>
  <si>
    <t>Error message displayed, booking fails</t>
  </si>
  <si>
    <t>Pending</t>
  </si>
  <si>
    <t>Not Executed</t>
  </si>
  <si>
    <t>TC008</t>
  </si>
  <si>
    <t>Ticket</t>
  </si>
  <si>
    <t>View booked ticket</t>
  </si>
  <si>
    <t>Go to Profile → My Bookings → Open ticket</t>
  </si>
  <si>
    <t>Confirmed Booking</t>
  </si>
  <si>
    <t>E-ticket with QR code displayed</t>
  </si>
  <si>
    <t>TC009</t>
  </si>
  <si>
    <t>Cancellation</t>
  </si>
  <si>
    <t>Cancel ticket eligibility</t>
  </si>
  <si>
    <t>Select active ticket → Click Cancel</t>
  </si>
  <si>
    <t>Eligible Ticket</t>
  </si>
  <si>
    <t>Refund calculation and confirmation prompt shown</t>
  </si>
  <si>
    <t>TC010</t>
  </si>
  <si>
    <t>Offers</t>
  </si>
  <si>
    <t>Apply promo code</t>
  </si>
  <si>
    <t>Enter promo code at checkout → Apply</t>
  </si>
  <si>
    <t>DISCOUNT50</t>
  </si>
  <si>
    <t>Discount applied to total amount</t>
  </si>
  <si>
    <t>Test Execution Dashboard &amp; Metrics</t>
  </si>
  <si>
    <t>Metric</t>
  </si>
  <si>
    <t>Count</t>
  </si>
  <si>
    <t>Percentage</t>
  </si>
  <si>
    <t>Not Executed / Pending</t>
  </si>
  <si>
    <t>Total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</si>
</sst>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1"/>
      <color rgb="FF333333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196F3D"/>
      <name val="Calibri"/>
      <family val="2"/>
    </font>
    <font>
      <b/>
      <sz val="10"/>
      <color rgb="FFB03A2E"/>
      <name val="Calibri"/>
      <family val="2"/>
    </font>
    <font>
      <sz val="10"/>
      <color rgb="FF7D6608"/>
      <name val="Calibri"/>
      <family val="2"/>
    </font>
    <font>
      <b/>
      <sz val="14"/>
      <color rgb="FFFFFFFF"/>
      <name val="Calibri"/>
      <family val="2"/>
    </font>
    <font>
      <b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A235A"/>
        <bgColor rgb="FF4A235A"/>
      </patternFill>
    </fill>
    <fill>
      <patternFill patternType="solid">
        <fgColor rgb="FFF4ECF7"/>
        <bgColor rgb="FFF4ECF7"/>
      </patternFill>
    </fill>
    <fill>
      <patternFill patternType="solid">
        <fgColor rgb="FF5B2C6F"/>
        <bgColor rgb="FF5B2C6F"/>
      </patternFill>
    </fill>
    <fill>
      <patternFill patternType="solid">
        <fgColor rgb="FFD4EFDF"/>
        <bgColor rgb="FFD4EFDF"/>
      </patternFill>
    </fill>
    <fill>
      <patternFill patternType="solid">
        <fgColor rgb="FFF9F5FB"/>
        <bgColor rgb="FFF9F5FB"/>
      </patternFill>
    </fill>
    <fill>
      <patternFill patternType="solid">
        <fgColor rgb="FFFADBD8"/>
        <bgColor rgb="FFFADBD8"/>
      </patternFill>
    </fill>
    <fill>
      <patternFill patternType="solid">
        <fgColor rgb="FFFCF3CF"/>
        <bgColor rgb="FFFCF3CF"/>
      </patternFill>
    </fill>
  </fills>
  <borders count="3">
    <border>
      <left/>
      <right/>
      <top/>
      <bottom/>
      <diagonal/>
    </border>
    <border>
      <left style="thin">
        <color rgb="FFD7BDE2"/>
      </left>
      <right style="thin">
        <color rgb="FFD7BDE2"/>
      </right>
      <top style="thin">
        <color rgb="FFD7BDE2"/>
      </top>
      <bottom style="medium">
        <color rgb="FF4A235A"/>
      </bottom>
      <diagonal/>
    </border>
    <border>
      <left style="thin">
        <color rgb="FFE5E7E9"/>
      </left>
      <right style="thin">
        <color rgb="FFE5E7E9"/>
      </right>
      <top style="thin">
        <color rgb="FFE5E7E9"/>
      </top>
      <bottom style="thin">
        <color rgb="FFE5E7E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right" vertical="center"/>
    </xf>
    <xf numFmtId="164" fontId="9" fillId="0" borderId="2" xfId="0" applyNumberFormat="1" applyFont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pane ySplit="4" topLeftCell="A5" activePane="bottomLeft" state="frozen"/>
      <selection pane="bottomLeft" activeCell="E19" sqref="E19"/>
    </sheetView>
  </sheetViews>
  <sheetFormatPr defaultRowHeight="15" x14ac:dyDescent="0.25"/>
  <cols>
    <col min="1" max="1" width="22.28515625" customWidth="1"/>
    <col min="2" max="2" width="16" customWidth="1"/>
    <col min="3" max="3" width="29" customWidth="1"/>
    <col min="4" max="4" width="38" customWidth="1"/>
    <col min="5" max="5" width="24" customWidth="1"/>
    <col min="6" max="6" width="30" customWidth="1"/>
    <col min="7" max="7" width="18" customWidth="1"/>
    <col min="8" max="8" width="16" customWidth="1"/>
  </cols>
  <sheetData>
    <row r="1" spans="1:8" ht="39.950000000000003" customHeight="1" x14ac:dyDescent="0.25">
      <c r="A1" s="17" t="s">
        <v>0</v>
      </c>
      <c r="B1" s="16"/>
      <c r="C1" s="16"/>
      <c r="D1" s="16"/>
      <c r="E1" s="16"/>
      <c r="F1" s="16"/>
      <c r="G1" s="16"/>
      <c r="H1" s="16"/>
    </row>
    <row r="2" spans="1:8" ht="24" customHeight="1" x14ac:dyDescent="0.25">
      <c r="A2" s="15"/>
      <c r="B2" s="16"/>
      <c r="C2" s="16"/>
      <c r="D2" s="16"/>
      <c r="E2" s="16"/>
      <c r="F2" s="16"/>
      <c r="G2" s="16"/>
      <c r="H2" s="16"/>
    </row>
    <row r="3" spans="1:8" ht="9.9499999999999993" customHeight="1" x14ac:dyDescent="0.25"/>
    <row r="4" spans="1:8" ht="26.1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21.95" customHeight="1" x14ac:dyDescent="0.25">
      <c r="A5" s="2" t="s">
        <v>9</v>
      </c>
      <c r="B5" s="2" t="s">
        <v>10</v>
      </c>
      <c r="C5" s="3" t="s">
        <v>11</v>
      </c>
      <c r="D5" s="3" t="s">
        <v>12</v>
      </c>
      <c r="E5" s="2" t="s">
        <v>13</v>
      </c>
      <c r="F5" s="3" t="s">
        <v>14</v>
      </c>
      <c r="G5" s="3" t="s">
        <v>15</v>
      </c>
      <c r="H5" s="4" t="s">
        <v>16</v>
      </c>
    </row>
    <row r="6" spans="1:8" ht="21.95" customHeight="1" x14ac:dyDescent="0.25">
      <c r="A6" s="5" t="s">
        <v>17</v>
      </c>
      <c r="B6" s="5" t="s">
        <v>18</v>
      </c>
      <c r="C6" s="6" t="s">
        <v>19</v>
      </c>
      <c r="D6" s="6" t="s">
        <v>20</v>
      </c>
      <c r="E6" s="5" t="s">
        <v>21</v>
      </c>
      <c r="F6" s="6" t="s">
        <v>22</v>
      </c>
      <c r="G6" s="6" t="s">
        <v>15</v>
      </c>
      <c r="H6" s="4" t="s">
        <v>16</v>
      </c>
    </row>
    <row r="7" spans="1:8" ht="21.95" customHeight="1" x14ac:dyDescent="0.25">
      <c r="A7" s="2" t="s">
        <v>23</v>
      </c>
      <c r="B7" s="2" t="s">
        <v>24</v>
      </c>
      <c r="C7" s="3" t="s">
        <v>25</v>
      </c>
      <c r="D7" s="3" t="s">
        <v>26</v>
      </c>
      <c r="E7" s="2" t="s">
        <v>27</v>
      </c>
      <c r="F7" s="3" t="s">
        <v>28</v>
      </c>
      <c r="G7" s="3" t="s">
        <v>15</v>
      </c>
      <c r="H7" s="4" t="s">
        <v>16</v>
      </c>
    </row>
    <row r="8" spans="1:8" ht="21.95" customHeight="1" x14ac:dyDescent="0.25">
      <c r="A8" s="5" t="s">
        <v>29</v>
      </c>
      <c r="B8" s="5" t="s">
        <v>30</v>
      </c>
      <c r="C8" s="6" t="s">
        <v>31</v>
      </c>
      <c r="D8" s="6" t="s">
        <v>32</v>
      </c>
      <c r="E8" s="5" t="s">
        <v>33</v>
      </c>
      <c r="F8" s="6" t="s">
        <v>34</v>
      </c>
      <c r="G8" s="6" t="s">
        <v>15</v>
      </c>
      <c r="H8" s="4" t="s">
        <v>16</v>
      </c>
    </row>
    <row r="9" spans="1:8" ht="21.95" customHeight="1" x14ac:dyDescent="0.25">
      <c r="A9" s="2" t="s">
        <v>35</v>
      </c>
      <c r="B9" s="2" t="s">
        <v>36</v>
      </c>
      <c r="C9" s="3" t="s">
        <v>37</v>
      </c>
      <c r="D9" s="3" t="s">
        <v>38</v>
      </c>
      <c r="E9" s="2" t="s">
        <v>39</v>
      </c>
      <c r="F9" s="3" t="s">
        <v>40</v>
      </c>
      <c r="G9" s="3" t="s">
        <v>15</v>
      </c>
      <c r="H9" s="4" t="s">
        <v>16</v>
      </c>
    </row>
    <row r="10" spans="1:8" ht="21.95" customHeight="1" x14ac:dyDescent="0.25">
      <c r="A10" s="5" t="s">
        <v>41</v>
      </c>
      <c r="B10" s="5" t="s">
        <v>42</v>
      </c>
      <c r="C10" s="6" t="s">
        <v>43</v>
      </c>
      <c r="D10" s="6" t="s">
        <v>44</v>
      </c>
      <c r="E10" s="5" t="s">
        <v>45</v>
      </c>
      <c r="F10" s="6" t="s">
        <v>46</v>
      </c>
      <c r="G10" s="6" t="s">
        <v>47</v>
      </c>
      <c r="H10" s="7" t="s">
        <v>48</v>
      </c>
    </row>
    <row r="11" spans="1:8" ht="21.95" customHeight="1" x14ac:dyDescent="0.25">
      <c r="A11" s="2" t="s">
        <v>49</v>
      </c>
      <c r="B11" s="2" t="s">
        <v>42</v>
      </c>
      <c r="C11" s="3" t="s">
        <v>50</v>
      </c>
      <c r="D11" s="3" t="s">
        <v>51</v>
      </c>
      <c r="E11" s="2" t="s">
        <v>52</v>
      </c>
      <c r="F11" s="3" t="s">
        <v>53</v>
      </c>
      <c r="G11" s="3" t="s">
        <v>54</v>
      </c>
      <c r="H11" s="8" t="s">
        <v>55</v>
      </c>
    </row>
    <row r="12" spans="1:8" ht="21.95" customHeight="1" x14ac:dyDescent="0.25">
      <c r="A12" s="5" t="s">
        <v>56</v>
      </c>
      <c r="B12" s="5" t="s">
        <v>57</v>
      </c>
      <c r="C12" s="6" t="s">
        <v>58</v>
      </c>
      <c r="D12" s="6" t="s">
        <v>59</v>
      </c>
      <c r="E12" s="5" t="s">
        <v>60</v>
      </c>
      <c r="F12" s="6" t="s">
        <v>61</v>
      </c>
      <c r="G12" s="6" t="s">
        <v>54</v>
      </c>
      <c r="H12" s="8" t="s">
        <v>55</v>
      </c>
    </row>
    <row r="13" spans="1:8" ht="21.95" customHeight="1" x14ac:dyDescent="0.25">
      <c r="A13" s="2" t="s">
        <v>62</v>
      </c>
      <c r="B13" s="2" t="s">
        <v>63</v>
      </c>
      <c r="C13" s="3" t="s">
        <v>64</v>
      </c>
      <c r="D13" s="3" t="s">
        <v>65</v>
      </c>
      <c r="E13" s="2" t="s">
        <v>66</v>
      </c>
      <c r="F13" s="3" t="s">
        <v>67</v>
      </c>
      <c r="G13" s="3" t="s">
        <v>54</v>
      </c>
      <c r="H13" s="8" t="s">
        <v>55</v>
      </c>
    </row>
    <row r="14" spans="1:8" ht="21.95" customHeight="1" x14ac:dyDescent="0.25">
      <c r="A14" s="5" t="s">
        <v>68</v>
      </c>
      <c r="B14" s="5" t="s">
        <v>69</v>
      </c>
      <c r="C14" s="6" t="s">
        <v>70</v>
      </c>
      <c r="D14" s="6" t="s">
        <v>71</v>
      </c>
      <c r="E14" s="5" t="s">
        <v>72</v>
      </c>
      <c r="F14" s="6" t="s">
        <v>73</v>
      </c>
      <c r="G14" s="6" t="s">
        <v>54</v>
      </c>
      <c r="H14" s="8" t="s">
        <v>55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cols>
    <col min="1" max="1" width="25" customWidth="1"/>
    <col min="2" max="3" width="15" customWidth="1"/>
  </cols>
  <sheetData>
    <row r="1" spans="1:4" ht="35.1" customHeight="1" x14ac:dyDescent="0.25">
      <c r="A1" s="18" t="s">
        <v>74</v>
      </c>
      <c r="B1" s="16"/>
      <c r="C1" s="16"/>
      <c r="D1" s="16"/>
    </row>
    <row r="3" spans="1:4" ht="24" customHeight="1" x14ac:dyDescent="0.25">
      <c r="A3" s="9" t="s">
        <v>75</v>
      </c>
      <c r="B3" s="9" t="s">
        <v>76</v>
      </c>
      <c r="C3" s="9" t="s">
        <v>77</v>
      </c>
    </row>
    <row r="4" spans="1:4" ht="20.100000000000001" customHeight="1" x14ac:dyDescent="0.25">
      <c r="A4" s="3" t="s">
        <v>16</v>
      </c>
      <c r="B4" s="10">
        <f>COUNTIF('Test Execution Report'!H5:H14, "Passed")</f>
        <v>5</v>
      </c>
      <c r="C4" s="11">
        <f>B4/B7</f>
        <v>0.5</v>
      </c>
    </row>
    <row r="5" spans="1:4" ht="20.100000000000001" customHeight="1" x14ac:dyDescent="0.25">
      <c r="A5" s="3" t="s">
        <v>48</v>
      </c>
      <c r="B5" s="10">
        <f>COUNTIF('Test Execution Report'!H5:H14, "Failed")</f>
        <v>1</v>
      </c>
      <c r="C5" s="11">
        <f>B5/B7</f>
        <v>0.1</v>
      </c>
    </row>
    <row r="6" spans="1:4" ht="20.100000000000001" customHeight="1" x14ac:dyDescent="0.25">
      <c r="A6" s="3" t="s">
        <v>78</v>
      </c>
      <c r="B6" s="10">
        <f>COUNTIF('Test Execution Report'!H5:H14, "Not Executed")</f>
        <v>4</v>
      </c>
      <c r="C6" s="11">
        <f>B6/B7</f>
        <v>0.4</v>
      </c>
    </row>
    <row r="7" spans="1:4" ht="20.100000000000001" customHeight="1" x14ac:dyDescent="0.25">
      <c r="A7" s="12" t="s">
        <v>79</v>
      </c>
      <c r="B7" s="13">
        <f>SUM(B4:B6)</f>
        <v>10</v>
      </c>
      <c r="C7" s="14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Report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 b</cp:lastModifiedBy>
  <dcterms:created xsi:type="dcterms:W3CDTF">2026-09-17T06:20:00Z</dcterms:created>
  <dcterms:modified xsi:type="dcterms:W3CDTF">2026-09-17T06:41:20Z</dcterms:modified>
</cp:coreProperties>
</file>